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TY\brent\Jazzy Scooter\Serial Decode\"/>
    </mc:Choice>
  </mc:AlternateContent>
  <xr:revisionPtr revIDLastSave="0" documentId="13_ncr:1_{36095BB9-ACC6-4907-94E4-A61EC3EC21D1}" xr6:coauthVersionLast="47" xr6:coauthVersionMax="47" xr10:uidLastSave="{00000000-0000-0000-0000-000000000000}"/>
  <bookViews>
    <workbookView xWindow="28845" yWindow="2925" windowWidth="21795" windowHeight="27045" xr2:uid="{3C3CCDFA-9021-459A-92F3-08D1C6750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7" i="1" l="1"/>
  <c r="K37" i="1"/>
  <c r="J37" i="1"/>
  <c r="I37" i="1"/>
  <c r="H37" i="1"/>
  <c r="G37" i="1"/>
  <c r="F37" i="1"/>
  <c r="E37" i="1"/>
  <c r="D37" i="1"/>
  <c r="C37" i="1"/>
  <c r="L36" i="1"/>
  <c r="K36" i="1"/>
  <c r="J36" i="1"/>
  <c r="I36" i="1"/>
  <c r="H36" i="1"/>
  <c r="G36" i="1"/>
  <c r="F36" i="1"/>
  <c r="E36" i="1"/>
  <c r="D36" i="1"/>
  <c r="C36" i="1"/>
  <c r="L35" i="1"/>
  <c r="K35" i="1"/>
  <c r="J35" i="1"/>
  <c r="I35" i="1"/>
  <c r="H35" i="1"/>
  <c r="G35" i="1"/>
  <c r="F35" i="1"/>
  <c r="E35" i="1"/>
  <c r="D35" i="1"/>
  <c r="C35" i="1"/>
  <c r="L34" i="1"/>
  <c r="K34" i="1"/>
  <c r="J34" i="1"/>
  <c r="I34" i="1"/>
  <c r="H34" i="1"/>
  <c r="G34" i="1"/>
  <c r="F34" i="1"/>
  <c r="E34" i="1"/>
  <c r="D34" i="1"/>
  <c r="C34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G38" i="1" s="1"/>
  <c r="F32" i="1"/>
  <c r="E32" i="1"/>
  <c r="D32" i="1"/>
  <c r="C32" i="1"/>
  <c r="L31" i="1"/>
  <c r="K31" i="1"/>
  <c r="J31" i="1"/>
  <c r="I31" i="1"/>
  <c r="H31" i="1"/>
  <c r="G31" i="1"/>
  <c r="F31" i="1"/>
  <c r="E31" i="1"/>
  <c r="D31" i="1"/>
  <c r="C31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K28" i="1" s="1"/>
  <c r="J22" i="1"/>
  <c r="I22" i="1"/>
  <c r="H22" i="1"/>
  <c r="G22" i="1"/>
  <c r="F22" i="1"/>
  <c r="E22" i="1"/>
  <c r="D22" i="1"/>
  <c r="C22" i="1"/>
  <c r="C27" i="1" s="1"/>
  <c r="L21" i="1"/>
  <c r="K21" i="1"/>
  <c r="J21" i="1"/>
  <c r="I21" i="1"/>
  <c r="H21" i="1"/>
  <c r="G21" i="1"/>
  <c r="F21" i="1"/>
  <c r="E21" i="1"/>
  <c r="D21" i="1"/>
  <c r="C21" i="1"/>
  <c r="E38" i="1" l="1"/>
  <c r="F27" i="1"/>
  <c r="E28" i="1"/>
  <c r="K38" i="1"/>
  <c r="D28" i="1"/>
  <c r="D39" i="1"/>
  <c r="G39" i="1"/>
  <c r="F39" i="1"/>
  <c r="H27" i="1"/>
  <c r="H38" i="1"/>
  <c r="I39" i="1"/>
  <c r="J28" i="1"/>
  <c r="J39" i="1"/>
  <c r="C28" i="1"/>
  <c r="L28" i="1"/>
  <c r="L39" i="1"/>
  <c r="H39" i="1"/>
  <c r="G28" i="1"/>
  <c r="K27" i="1"/>
  <c r="L27" i="1"/>
  <c r="E39" i="1"/>
  <c r="K39" i="1"/>
  <c r="H28" i="1"/>
  <c r="I27" i="1"/>
  <c r="C38" i="1"/>
  <c r="D27" i="1"/>
  <c r="F38" i="1"/>
  <c r="C39" i="1"/>
  <c r="J27" i="1"/>
  <c r="I28" i="1"/>
  <c r="I38" i="1"/>
  <c r="E27" i="1"/>
  <c r="J38" i="1"/>
  <c r="G27" i="1"/>
  <c r="F28" i="1"/>
  <c r="D38" i="1"/>
  <c r="L38" i="1"/>
</calcChain>
</file>

<file path=xl/sharedStrings.xml><?xml version="1.0" encoding="utf-8"?>
<sst xmlns="http://schemas.openxmlformats.org/spreadsheetml/2006/main" count="207" uniqueCount="65">
  <si>
    <t>Image</t>
  </si>
  <si>
    <t>byte 0</t>
  </si>
  <si>
    <t>byte 1</t>
  </si>
  <si>
    <t>byte 2</t>
  </si>
  <si>
    <t>byte 3</t>
  </si>
  <si>
    <t>byte 4</t>
  </si>
  <si>
    <t>byte 5</t>
  </si>
  <si>
    <t>byte 6</t>
  </si>
  <si>
    <t>4a</t>
  </si>
  <si>
    <t>b4</t>
  </si>
  <si>
    <t>hex</t>
  </si>
  <si>
    <t>FE</t>
  </si>
  <si>
    <t>a0</t>
  </si>
  <si>
    <t>a1</t>
  </si>
  <si>
    <t>9c</t>
  </si>
  <si>
    <t>e</t>
  </si>
  <si>
    <t>a6</t>
  </si>
  <si>
    <t>b1</t>
  </si>
  <si>
    <t>b9</t>
  </si>
  <si>
    <t>dec</t>
  </si>
  <si>
    <t>dec sum</t>
  </si>
  <si>
    <t>sum byte 5</t>
  </si>
  <si>
    <t>sum byte 6</t>
  </si>
  <si>
    <t>dec sum 0-5</t>
  </si>
  <si>
    <t>second packet vs speed control</t>
  </si>
  <si>
    <t>pwr on</t>
  </si>
  <si>
    <t>charger plugged</t>
  </si>
  <si>
    <t>a4</t>
  </si>
  <si>
    <t>d7</t>
  </si>
  <si>
    <t>charger unplugged</t>
  </si>
  <si>
    <t>pwr off then on</t>
  </si>
  <si>
    <t>second packet vs charging</t>
  </si>
  <si>
    <t>speed</t>
  </si>
  <si>
    <t>a</t>
  </si>
  <si>
    <t>b</t>
  </si>
  <si>
    <t>c</t>
  </si>
  <si>
    <t>d</t>
  </si>
  <si>
    <t>b3</t>
  </si>
  <si>
    <t>b2</t>
  </si>
  <si>
    <t>bo</t>
  </si>
  <si>
    <t>af</t>
  </si>
  <si>
    <t>ae</t>
  </si>
  <si>
    <t>ad</t>
  </si>
  <si>
    <t>ac</t>
  </si>
  <si>
    <t>ab</t>
  </si>
  <si>
    <t>aa</t>
  </si>
  <si>
    <t>a9</t>
  </si>
  <si>
    <t>d9</t>
  </si>
  <si>
    <t>a8</t>
  </si>
  <si>
    <t>a7</t>
  </si>
  <si>
    <t>normal</t>
  </si>
  <si>
    <t>beep</t>
  </si>
  <si>
    <t>c1</t>
  </si>
  <si>
    <t>power pressed</t>
  </si>
  <si>
    <t>power off</t>
  </si>
  <si>
    <t>first packet</t>
  </si>
  <si>
    <t>4A</t>
  </si>
  <si>
    <t xml:space="preserve">speed </t>
  </si>
  <si>
    <t>fore aft</t>
  </si>
  <si>
    <t>positive forward, negative backward</t>
  </si>
  <si>
    <t>0-100 range</t>
  </si>
  <si>
    <t>turn</t>
  </si>
  <si>
    <t>brake kicks off at b</t>
  </si>
  <si>
    <t>left positive, right negative</t>
  </si>
  <si>
    <t>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</si>
</sst>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C6B8-D72D-45A7-8AD9-899BD876198C}">
  <dimension ref="A2:Q91"/>
  <sheetViews>
    <sheetView tabSelected="1" topLeftCell="A40" workbookViewId="0">
      <selection activeCell="J67" sqref="J67"/>
    </sheetView>
  </sheetViews>
  <sheetFormatPr defaultRowHeight="15" x14ac:dyDescent="0.25"/>
  <cols>
    <col min="2" max="2" width="10" customWidth="1"/>
    <col min="3" max="3" width="8.85546875" style="1"/>
    <col min="5" max="5" width="10.5703125" customWidth="1"/>
  </cols>
  <sheetData>
    <row r="2" spans="2:12" x14ac:dyDescent="0.25">
      <c r="C2" s="1" t="s">
        <v>10</v>
      </c>
    </row>
    <row r="3" spans="2:12" x14ac:dyDescent="0.25">
      <c r="B3" t="s">
        <v>0</v>
      </c>
      <c r="C3" s="1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</row>
    <row r="5" spans="2:12" x14ac:dyDescent="0.25">
      <c r="B5" t="s">
        <v>1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  <c r="L5" s="1" t="s">
        <v>8</v>
      </c>
    </row>
    <row r="6" spans="2:12" x14ac:dyDescent="0.25">
      <c r="B6" t="s">
        <v>2</v>
      </c>
      <c r="C6" s="1">
        <v>1</v>
      </c>
      <c r="D6" s="1">
        <v>21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21</v>
      </c>
      <c r="L6" s="1">
        <v>21</v>
      </c>
    </row>
    <row r="7" spans="2:12" x14ac:dyDescent="0.25">
      <c r="B7" t="s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 t="s">
        <v>15</v>
      </c>
      <c r="J7" s="1">
        <v>0</v>
      </c>
      <c r="K7" s="1">
        <v>0</v>
      </c>
      <c r="L7" s="1" t="s">
        <v>15</v>
      </c>
    </row>
    <row r="8" spans="2:12" x14ac:dyDescent="0.25">
      <c r="B8" t="s">
        <v>4</v>
      </c>
      <c r="C8" s="1">
        <v>0</v>
      </c>
      <c r="D8" s="1">
        <v>0</v>
      </c>
      <c r="E8" s="1">
        <v>0</v>
      </c>
      <c r="F8" s="1">
        <v>0</v>
      </c>
      <c r="G8" s="1">
        <v>64</v>
      </c>
      <c r="H8" s="1" t="s">
        <v>14</v>
      </c>
      <c r="I8" s="1">
        <v>0</v>
      </c>
      <c r="J8" s="1">
        <v>0</v>
      </c>
      <c r="K8" s="1">
        <v>0</v>
      </c>
      <c r="L8" s="1">
        <v>0</v>
      </c>
    </row>
    <row r="9" spans="2:12" x14ac:dyDescent="0.25">
      <c r="B9" t="s">
        <v>5</v>
      </c>
      <c r="C9" s="1">
        <v>0</v>
      </c>
      <c r="D9" s="1">
        <v>0</v>
      </c>
      <c r="E9" s="1">
        <v>64</v>
      </c>
      <c r="F9" s="1" t="s">
        <v>14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2:12" x14ac:dyDescent="0.25">
      <c r="B10" t="s">
        <v>6</v>
      </c>
      <c r="C10" s="1" t="s">
        <v>9</v>
      </c>
      <c r="D10" s="1">
        <v>94</v>
      </c>
      <c r="E10" s="1">
        <v>50</v>
      </c>
      <c r="F10" s="1">
        <v>18</v>
      </c>
      <c r="G10" s="1">
        <v>50</v>
      </c>
      <c r="H10" s="1">
        <v>18</v>
      </c>
      <c r="I10" s="1" t="s">
        <v>16</v>
      </c>
      <c r="J10" s="1" t="s">
        <v>9</v>
      </c>
      <c r="K10" s="1">
        <v>94</v>
      </c>
      <c r="L10" s="1">
        <v>86</v>
      </c>
    </row>
    <row r="11" spans="2:12" x14ac:dyDescent="0.25">
      <c r="D11" s="1"/>
      <c r="E11" s="1"/>
      <c r="F11" s="1"/>
      <c r="G11" s="1"/>
      <c r="H11" s="1"/>
      <c r="I11" s="1"/>
      <c r="J11" s="1"/>
      <c r="L11" s="1"/>
    </row>
    <row r="12" spans="2:12" x14ac:dyDescent="0.25">
      <c r="B12" t="s">
        <v>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</row>
    <row r="13" spans="2:12" x14ac:dyDescent="0.25">
      <c r="B13" t="s">
        <v>2</v>
      </c>
      <c r="C13" s="1">
        <v>54</v>
      </c>
      <c r="D13" s="1">
        <v>54</v>
      </c>
      <c r="E13" s="1">
        <v>54</v>
      </c>
      <c r="F13" s="1">
        <v>54</v>
      </c>
      <c r="G13" s="1">
        <v>54</v>
      </c>
      <c r="H13" s="1">
        <v>54</v>
      </c>
      <c r="I13" s="1">
        <v>54</v>
      </c>
      <c r="J13" s="1">
        <v>54</v>
      </c>
      <c r="K13" s="1">
        <v>54</v>
      </c>
      <c r="L13" s="1">
        <v>54</v>
      </c>
    </row>
    <row r="14" spans="2:12" x14ac:dyDescent="0.25">
      <c r="B14" t="s">
        <v>3</v>
      </c>
      <c r="C14" s="2">
        <v>80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2:12" x14ac:dyDescent="0.25">
      <c r="B15" t="s">
        <v>4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2:12" x14ac:dyDescent="0.25">
      <c r="B16" t="s">
        <v>5</v>
      </c>
      <c r="C16" s="2">
        <v>1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2:12" x14ac:dyDescent="0.25">
      <c r="B17" t="s">
        <v>6</v>
      </c>
      <c r="C17" s="2">
        <v>11</v>
      </c>
      <c r="D17" s="1">
        <v>31</v>
      </c>
      <c r="E17" s="1">
        <v>31</v>
      </c>
      <c r="F17" s="1">
        <v>31</v>
      </c>
      <c r="G17" s="1">
        <v>31</v>
      </c>
      <c r="H17" s="1">
        <v>31</v>
      </c>
      <c r="I17" s="2" t="s">
        <v>17</v>
      </c>
      <c r="J17" s="1">
        <v>31</v>
      </c>
      <c r="K17" s="1">
        <v>31</v>
      </c>
      <c r="L17" s="2" t="s">
        <v>17</v>
      </c>
    </row>
    <row r="18" spans="2:12" x14ac:dyDescent="0.25">
      <c r="B18" t="s">
        <v>7</v>
      </c>
      <c r="C18" s="1">
        <v>79</v>
      </c>
      <c r="D18" s="1">
        <v>39</v>
      </c>
      <c r="E18" s="1">
        <v>39</v>
      </c>
      <c r="F18" s="1">
        <v>39</v>
      </c>
      <c r="G18" s="1">
        <v>39</v>
      </c>
      <c r="H18" s="1">
        <v>39</v>
      </c>
      <c r="I18" s="1" t="s">
        <v>18</v>
      </c>
      <c r="J18" s="1">
        <v>39</v>
      </c>
      <c r="K18" s="1">
        <v>39</v>
      </c>
      <c r="L18" s="1" t="s">
        <v>18</v>
      </c>
    </row>
    <row r="20" spans="2:12" x14ac:dyDescent="0.25">
      <c r="C20" t="s">
        <v>19</v>
      </c>
    </row>
    <row r="21" spans="2:12" x14ac:dyDescent="0.25">
      <c r="B21" t="s">
        <v>1</v>
      </c>
      <c r="C21" s="1">
        <f>HEX2DEC(C5)</f>
        <v>74</v>
      </c>
      <c r="D21" s="1">
        <f t="shared" ref="D21:L21" si="0">HEX2DEC(D5)</f>
        <v>74</v>
      </c>
      <c r="E21" s="1">
        <f t="shared" si="0"/>
        <v>74</v>
      </c>
      <c r="F21" s="1">
        <f t="shared" si="0"/>
        <v>74</v>
      </c>
      <c r="G21" s="1">
        <f t="shared" si="0"/>
        <v>74</v>
      </c>
      <c r="H21" s="1">
        <f t="shared" si="0"/>
        <v>74</v>
      </c>
      <c r="I21" s="1">
        <f t="shared" si="0"/>
        <v>74</v>
      </c>
      <c r="J21" s="1">
        <f t="shared" si="0"/>
        <v>74</v>
      </c>
      <c r="K21" s="1">
        <f t="shared" si="0"/>
        <v>74</v>
      </c>
      <c r="L21" s="1">
        <f t="shared" si="0"/>
        <v>74</v>
      </c>
    </row>
    <row r="22" spans="2:12" x14ac:dyDescent="0.25">
      <c r="B22" t="s">
        <v>2</v>
      </c>
      <c r="C22" s="1">
        <f t="shared" ref="C22:L22" si="1">HEX2DEC(C6)</f>
        <v>1</v>
      </c>
      <c r="D22" s="1">
        <f t="shared" si="1"/>
        <v>33</v>
      </c>
      <c r="E22" s="1">
        <f t="shared" si="1"/>
        <v>1</v>
      </c>
      <c r="F22" s="1">
        <f t="shared" si="1"/>
        <v>1</v>
      </c>
      <c r="G22" s="1">
        <f t="shared" si="1"/>
        <v>1</v>
      </c>
      <c r="H22" s="1">
        <f t="shared" si="1"/>
        <v>1</v>
      </c>
      <c r="I22" s="1">
        <f t="shared" si="1"/>
        <v>1</v>
      </c>
      <c r="J22" s="1">
        <f t="shared" si="1"/>
        <v>1</v>
      </c>
      <c r="K22" s="1">
        <f t="shared" si="1"/>
        <v>33</v>
      </c>
      <c r="L22" s="1">
        <f t="shared" si="1"/>
        <v>33</v>
      </c>
    </row>
    <row r="23" spans="2:12" x14ac:dyDescent="0.25">
      <c r="B23" t="s">
        <v>3</v>
      </c>
      <c r="C23" s="1">
        <f t="shared" ref="C23:L23" si="2">HEX2DEC(C7)</f>
        <v>0</v>
      </c>
      <c r="D23" s="1">
        <f t="shared" si="2"/>
        <v>0</v>
      </c>
      <c r="E23" s="1">
        <f t="shared" si="2"/>
        <v>0</v>
      </c>
      <c r="F23" s="1">
        <f t="shared" si="2"/>
        <v>0</v>
      </c>
      <c r="G23" s="1">
        <f t="shared" si="2"/>
        <v>0</v>
      </c>
      <c r="H23" s="1">
        <f t="shared" si="2"/>
        <v>0</v>
      </c>
      <c r="I23" s="1">
        <f t="shared" si="2"/>
        <v>14</v>
      </c>
      <c r="J23" s="1">
        <f t="shared" si="2"/>
        <v>0</v>
      </c>
      <c r="K23" s="1">
        <f t="shared" si="2"/>
        <v>0</v>
      </c>
      <c r="L23" s="1">
        <f t="shared" si="2"/>
        <v>14</v>
      </c>
    </row>
    <row r="24" spans="2:12" x14ac:dyDescent="0.25">
      <c r="B24" t="s">
        <v>4</v>
      </c>
      <c r="C24" s="1">
        <f t="shared" ref="C24:L24" si="3">HEX2DEC(C8)</f>
        <v>0</v>
      </c>
      <c r="D24" s="1">
        <f t="shared" si="3"/>
        <v>0</v>
      </c>
      <c r="E24" s="1">
        <f t="shared" si="3"/>
        <v>0</v>
      </c>
      <c r="F24" s="1">
        <f t="shared" si="3"/>
        <v>0</v>
      </c>
      <c r="G24" s="1">
        <f t="shared" si="3"/>
        <v>100</v>
      </c>
      <c r="H24" s="1">
        <f t="shared" si="3"/>
        <v>156</v>
      </c>
      <c r="I24" s="1">
        <f t="shared" si="3"/>
        <v>0</v>
      </c>
      <c r="J24" s="1">
        <f t="shared" si="3"/>
        <v>0</v>
      </c>
      <c r="K24" s="1">
        <f t="shared" si="3"/>
        <v>0</v>
      </c>
      <c r="L24" s="1">
        <f t="shared" si="3"/>
        <v>0</v>
      </c>
    </row>
    <row r="25" spans="2:12" x14ac:dyDescent="0.25">
      <c r="B25" t="s">
        <v>5</v>
      </c>
      <c r="C25" s="1">
        <f t="shared" ref="C25:L25" si="4">HEX2DEC(C9)</f>
        <v>0</v>
      </c>
      <c r="D25" s="1">
        <f t="shared" si="4"/>
        <v>0</v>
      </c>
      <c r="E25" s="1">
        <f t="shared" si="4"/>
        <v>100</v>
      </c>
      <c r="F25" s="1">
        <f t="shared" si="4"/>
        <v>156</v>
      </c>
      <c r="G25" s="1">
        <f t="shared" si="4"/>
        <v>0</v>
      </c>
      <c r="H25" s="1">
        <f t="shared" si="4"/>
        <v>0</v>
      </c>
      <c r="I25" s="1">
        <f t="shared" si="4"/>
        <v>0</v>
      </c>
      <c r="J25" s="1">
        <f t="shared" si="4"/>
        <v>0</v>
      </c>
      <c r="K25" s="1">
        <f t="shared" si="4"/>
        <v>0</v>
      </c>
      <c r="L25" s="1">
        <f t="shared" si="4"/>
        <v>0</v>
      </c>
    </row>
    <row r="26" spans="2:12" x14ac:dyDescent="0.25">
      <c r="B26" t="s">
        <v>6</v>
      </c>
      <c r="C26" s="1">
        <f t="shared" ref="C26:L26" si="5">HEX2DEC(C10)</f>
        <v>180</v>
      </c>
      <c r="D26" s="1">
        <f t="shared" si="5"/>
        <v>148</v>
      </c>
      <c r="E26" s="1">
        <f t="shared" si="5"/>
        <v>80</v>
      </c>
      <c r="F26" s="1">
        <f t="shared" si="5"/>
        <v>24</v>
      </c>
      <c r="G26" s="1">
        <f t="shared" si="5"/>
        <v>80</v>
      </c>
      <c r="H26" s="1">
        <f t="shared" si="5"/>
        <v>24</v>
      </c>
      <c r="I26" s="1">
        <f t="shared" si="5"/>
        <v>166</v>
      </c>
      <c r="J26" s="1">
        <f t="shared" si="5"/>
        <v>180</v>
      </c>
      <c r="K26" s="1">
        <f t="shared" si="5"/>
        <v>148</v>
      </c>
      <c r="L26" s="1">
        <f t="shared" si="5"/>
        <v>134</v>
      </c>
    </row>
    <row r="27" spans="2:12" x14ac:dyDescent="0.25">
      <c r="B27" t="s">
        <v>21</v>
      </c>
      <c r="C27" s="1">
        <f>255-MOD(SUM(C21:C25),256)</f>
        <v>180</v>
      </c>
      <c r="D27" s="1">
        <f t="shared" ref="D27:L27" si="6">255-MOD(SUM(D21:D25),256)</f>
        <v>148</v>
      </c>
      <c r="E27" s="1">
        <f t="shared" si="6"/>
        <v>80</v>
      </c>
      <c r="F27" s="1">
        <f t="shared" si="6"/>
        <v>24</v>
      </c>
      <c r="G27" s="1">
        <f t="shared" si="6"/>
        <v>80</v>
      </c>
      <c r="H27" s="1">
        <f t="shared" si="6"/>
        <v>24</v>
      </c>
      <c r="I27" s="1">
        <f t="shared" si="6"/>
        <v>166</v>
      </c>
      <c r="J27" s="1">
        <f t="shared" si="6"/>
        <v>180</v>
      </c>
      <c r="K27" s="1">
        <f t="shared" si="6"/>
        <v>148</v>
      </c>
      <c r="L27" s="1">
        <f t="shared" si="6"/>
        <v>134</v>
      </c>
    </row>
    <row r="28" spans="2:12" x14ac:dyDescent="0.25">
      <c r="B28" t="s">
        <v>23</v>
      </c>
      <c r="C28" s="1">
        <f>MOD(SUM(C21:C26),256)</f>
        <v>255</v>
      </c>
      <c r="D28" s="1">
        <f t="shared" ref="D28:L28" si="7">MOD(SUM(D21:D26),256)</f>
        <v>255</v>
      </c>
      <c r="E28" s="1">
        <f t="shared" si="7"/>
        <v>255</v>
      </c>
      <c r="F28" s="1">
        <f t="shared" si="7"/>
        <v>255</v>
      </c>
      <c r="G28" s="1">
        <f t="shared" si="7"/>
        <v>255</v>
      </c>
      <c r="H28" s="1">
        <f t="shared" si="7"/>
        <v>255</v>
      </c>
      <c r="I28" s="1">
        <f t="shared" si="7"/>
        <v>255</v>
      </c>
      <c r="J28" s="1">
        <f t="shared" si="7"/>
        <v>255</v>
      </c>
      <c r="K28" s="1">
        <f t="shared" si="7"/>
        <v>255</v>
      </c>
      <c r="L28" s="1">
        <f t="shared" si="7"/>
        <v>255</v>
      </c>
    </row>
    <row r="29" spans="2:12" ht="20.45" customHeight="1" x14ac:dyDescent="0.25"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25">
      <c r="D30" s="1"/>
      <c r="E30" s="1"/>
      <c r="F30" s="1"/>
      <c r="G30" s="1"/>
      <c r="H30" s="1"/>
      <c r="I30" s="1"/>
      <c r="J30" s="1"/>
      <c r="L30" s="1"/>
    </row>
    <row r="31" spans="2:12" x14ac:dyDescent="0.25">
      <c r="B31" t="s">
        <v>1</v>
      </c>
      <c r="C31" s="1">
        <f t="shared" ref="C31:L31" si="8">HEX2DEC(C12)</f>
        <v>254</v>
      </c>
      <c r="D31" s="1">
        <f t="shared" si="8"/>
        <v>254</v>
      </c>
      <c r="E31" s="1">
        <f t="shared" si="8"/>
        <v>254</v>
      </c>
      <c r="F31" s="1">
        <f t="shared" si="8"/>
        <v>254</v>
      </c>
      <c r="G31" s="1">
        <f t="shared" si="8"/>
        <v>254</v>
      </c>
      <c r="H31" s="1">
        <f t="shared" si="8"/>
        <v>254</v>
      </c>
      <c r="I31" s="1">
        <f t="shared" si="8"/>
        <v>254</v>
      </c>
      <c r="J31" s="1">
        <f t="shared" si="8"/>
        <v>254</v>
      </c>
      <c r="K31" s="1">
        <f t="shared" si="8"/>
        <v>254</v>
      </c>
      <c r="L31" s="1">
        <f t="shared" si="8"/>
        <v>254</v>
      </c>
    </row>
    <row r="32" spans="2:12" x14ac:dyDescent="0.25">
      <c r="B32" t="s">
        <v>2</v>
      </c>
      <c r="C32" s="1">
        <f t="shared" ref="C32:L32" si="9">HEX2DEC(C13)</f>
        <v>84</v>
      </c>
      <c r="D32" s="1">
        <f t="shared" si="9"/>
        <v>84</v>
      </c>
      <c r="E32" s="1">
        <f t="shared" si="9"/>
        <v>84</v>
      </c>
      <c r="F32" s="1">
        <f t="shared" si="9"/>
        <v>84</v>
      </c>
      <c r="G32" s="1">
        <f t="shared" si="9"/>
        <v>84</v>
      </c>
      <c r="H32" s="1">
        <f t="shared" si="9"/>
        <v>84</v>
      </c>
      <c r="I32" s="1">
        <f t="shared" si="9"/>
        <v>84</v>
      </c>
      <c r="J32" s="1">
        <f t="shared" si="9"/>
        <v>84</v>
      </c>
      <c r="K32" s="1">
        <f t="shared" si="9"/>
        <v>84</v>
      </c>
      <c r="L32" s="1">
        <f t="shared" si="9"/>
        <v>84</v>
      </c>
    </row>
    <row r="33" spans="1:12" x14ac:dyDescent="0.25">
      <c r="B33" t="s">
        <v>3</v>
      </c>
      <c r="C33" s="1">
        <f t="shared" ref="C33:L33" si="10">HEX2DEC(C14)</f>
        <v>128</v>
      </c>
      <c r="D33" s="1">
        <f t="shared" si="10"/>
        <v>0</v>
      </c>
      <c r="E33" s="1">
        <f t="shared" si="10"/>
        <v>0</v>
      </c>
      <c r="F33" s="1">
        <f t="shared" si="10"/>
        <v>0</v>
      </c>
      <c r="G33" s="1">
        <f t="shared" si="10"/>
        <v>0</v>
      </c>
      <c r="H33" s="1">
        <f t="shared" si="10"/>
        <v>0</v>
      </c>
      <c r="I33" s="1">
        <f t="shared" si="10"/>
        <v>0</v>
      </c>
      <c r="J33" s="1">
        <f t="shared" si="10"/>
        <v>0</v>
      </c>
      <c r="K33" s="1">
        <f t="shared" si="10"/>
        <v>0</v>
      </c>
      <c r="L33" s="1">
        <f t="shared" si="10"/>
        <v>0</v>
      </c>
    </row>
    <row r="34" spans="1:12" x14ac:dyDescent="0.25">
      <c r="B34" t="s">
        <v>4</v>
      </c>
      <c r="C34" s="1">
        <f t="shared" ref="C34:L34" si="11">HEX2DEC(C15)</f>
        <v>160</v>
      </c>
      <c r="D34" s="1">
        <f t="shared" si="11"/>
        <v>160</v>
      </c>
      <c r="E34" s="1">
        <f t="shared" si="11"/>
        <v>160</v>
      </c>
      <c r="F34" s="1">
        <f t="shared" si="11"/>
        <v>160</v>
      </c>
      <c r="G34" s="1">
        <f t="shared" si="11"/>
        <v>160</v>
      </c>
      <c r="H34" s="1">
        <f t="shared" si="11"/>
        <v>160</v>
      </c>
      <c r="I34" s="1">
        <f t="shared" si="11"/>
        <v>160</v>
      </c>
      <c r="J34" s="1">
        <f t="shared" si="11"/>
        <v>160</v>
      </c>
      <c r="K34" s="1">
        <f t="shared" si="11"/>
        <v>160</v>
      </c>
      <c r="L34" s="1">
        <f t="shared" si="11"/>
        <v>160</v>
      </c>
    </row>
    <row r="35" spans="1:12" x14ac:dyDescent="0.25">
      <c r="B35" t="s">
        <v>5</v>
      </c>
      <c r="C35" s="1">
        <f t="shared" ref="C35:L35" si="12">HEX2DEC(C16)</f>
        <v>1</v>
      </c>
      <c r="D35" s="1">
        <f t="shared" si="12"/>
        <v>161</v>
      </c>
      <c r="E35" s="1">
        <f t="shared" si="12"/>
        <v>161</v>
      </c>
      <c r="F35" s="1">
        <f t="shared" si="12"/>
        <v>161</v>
      </c>
      <c r="G35" s="1">
        <f t="shared" si="12"/>
        <v>161</v>
      </c>
      <c r="H35" s="1">
        <f t="shared" si="12"/>
        <v>161</v>
      </c>
      <c r="I35" s="1">
        <f t="shared" si="12"/>
        <v>161</v>
      </c>
      <c r="J35" s="1">
        <f t="shared" si="12"/>
        <v>161</v>
      </c>
      <c r="K35" s="1">
        <f t="shared" si="12"/>
        <v>161</v>
      </c>
      <c r="L35" s="1">
        <f t="shared" si="12"/>
        <v>161</v>
      </c>
    </row>
    <row r="36" spans="1:12" x14ac:dyDescent="0.25">
      <c r="B36" t="s">
        <v>6</v>
      </c>
      <c r="C36" s="1">
        <f t="shared" ref="C36:L36" si="13">HEX2DEC(C17)</f>
        <v>17</v>
      </c>
      <c r="D36" s="1">
        <f t="shared" si="13"/>
        <v>49</v>
      </c>
      <c r="E36" s="1">
        <f t="shared" si="13"/>
        <v>49</v>
      </c>
      <c r="F36" s="1">
        <f t="shared" si="13"/>
        <v>49</v>
      </c>
      <c r="G36" s="1">
        <f t="shared" si="13"/>
        <v>49</v>
      </c>
      <c r="H36" s="1">
        <f t="shared" si="13"/>
        <v>49</v>
      </c>
      <c r="I36" s="1">
        <f t="shared" si="13"/>
        <v>177</v>
      </c>
      <c r="J36" s="1">
        <f t="shared" si="13"/>
        <v>49</v>
      </c>
      <c r="K36" s="1">
        <f t="shared" si="13"/>
        <v>49</v>
      </c>
      <c r="L36" s="1">
        <f t="shared" si="13"/>
        <v>177</v>
      </c>
    </row>
    <row r="37" spans="1:12" x14ac:dyDescent="0.25">
      <c r="B37" t="s">
        <v>7</v>
      </c>
      <c r="C37" s="1">
        <f t="shared" ref="C37:L37" si="14">HEX2DEC(C18)</f>
        <v>121</v>
      </c>
      <c r="D37" s="1">
        <f t="shared" si="14"/>
        <v>57</v>
      </c>
      <c r="E37" s="1">
        <f t="shared" si="14"/>
        <v>57</v>
      </c>
      <c r="F37" s="1">
        <f t="shared" si="14"/>
        <v>57</v>
      </c>
      <c r="G37" s="1">
        <f t="shared" si="14"/>
        <v>57</v>
      </c>
      <c r="H37" s="1">
        <f t="shared" si="14"/>
        <v>57</v>
      </c>
      <c r="I37" s="1">
        <f t="shared" si="14"/>
        <v>185</v>
      </c>
      <c r="J37" s="1">
        <f t="shared" si="14"/>
        <v>57</v>
      </c>
      <c r="K37" s="1">
        <f t="shared" si="14"/>
        <v>57</v>
      </c>
      <c r="L37" s="1">
        <f t="shared" si="14"/>
        <v>185</v>
      </c>
    </row>
    <row r="38" spans="1:12" x14ac:dyDescent="0.25">
      <c r="B38" t="s">
        <v>22</v>
      </c>
      <c r="C38" s="1">
        <f>253-MOD(SUM(C31:C36),256)</f>
        <v>121</v>
      </c>
      <c r="D38" s="1">
        <f t="shared" ref="D38:L38" si="15">253-MOD(SUM(D31:D36),256)</f>
        <v>57</v>
      </c>
      <c r="E38" s="1">
        <f t="shared" si="15"/>
        <v>57</v>
      </c>
      <c r="F38" s="1">
        <f t="shared" si="15"/>
        <v>57</v>
      </c>
      <c r="G38" s="1">
        <f t="shared" si="15"/>
        <v>57</v>
      </c>
      <c r="H38" s="1">
        <f t="shared" si="15"/>
        <v>57</v>
      </c>
      <c r="I38" s="1">
        <f t="shared" si="15"/>
        <v>185</v>
      </c>
      <c r="J38" s="1">
        <f t="shared" si="15"/>
        <v>57</v>
      </c>
      <c r="K38" s="1">
        <f t="shared" si="15"/>
        <v>57</v>
      </c>
      <c r="L38" s="1">
        <f t="shared" si="15"/>
        <v>185</v>
      </c>
    </row>
    <row r="39" spans="1:12" x14ac:dyDescent="0.25">
      <c r="B39" t="s">
        <v>20</v>
      </c>
      <c r="C39" s="1">
        <f>MOD(SUM(C31:C37),256)</f>
        <v>253</v>
      </c>
      <c r="D39" s="1">
        <f t="shared" ref="D39:L39" si="16">MOD(SUM(D31:D37),256)</f>
        <v>253</v>
      </c>
      <c r="E39" s="1">
        <f t="shared" si="16"/>
        <v>253</v>
      </c>
      <c r="F39" s="1">
        <f t="shared" si="16"/>
        <v>253</v>
      </c>
      <c r="G39" s="1">
        <f t="shared" si="16"/>
        <v>253</v>
      </c>
      <c r="H39" s="1">
        <f t="shared" si="16"/>
        <v>253</v>
      </c>
      <c r="I39" s="1">
        <f t="shared" si="16"/>
        <v>253</v>
      </c>
      <c r="J39" s="1">
        <f t="shared" si="16"/>
        <v>253</v>
      </c>
      <c r="K39" s="1">
        <f t="shared" si="16"/>
        <v>253</v>
      </c>
      <c r="L39" s="1">
        <f t="shared" si="16"/>
        <v>253</v>
      </c>
    </row>
    <row r="42" spans="1:12" x14ac:dyDescent="0.25">
      <c r="A42" t="s">
        <v>31</v>
      </c>
    </row>
    <row r="43" spans="1:12" ht="30" x14ac:dyDescent="0.25">
      <c r="C43" s="3" t="s">
        <v>25</v>
      </c>
      <c r="D43" s="4" t="s">
        <v>26</v>
      </c>
      <c r="E43" s="4" t="s">
        <v>29</v>
      </c>
      <c r="F43" s="4" t="s">
        <v>30</v>
      </c>
      <c r="G43" s="4"/>
      <c r="H43" s="4"/>
      <c r="I43" s="4"/>
      <c r="J43" s="4"/>
      <c r="K43" s="4"/>
      <c r="L43" s="4"/>
    </row>
    <row r="44" spans="1:12" x14ac:dyDescent="0.25">
      <c r="B44" t="s">
        <v>1</v>
      </c>
      <c r="C44" s="1" t="s">
        <v>8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B45" t="s">
        <v>2</v>
      </c>
      <c r="C45" s="1">
        <v>1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B46" t="s">
        <v>3</v>
      </c>
      <c r="C46" s="1">
        <v>0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B47" t="s">
        <v>4</v>
      </c>
      <c r="C47" s="1">
        <v>0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B48" t="s">
        <v>5</v>
      </c>
      <c r="C48" s="1">
        <v>0</v>
      </c>
      <c r="D48" s="1"/>
      <c r="E48" s="1"/>
      <c r="F48" s="1"/>
      <c r="G48" s="1"/>
      <c r="H48" s="1"/>
      <c r="I48" s="1"/>
      <c r="J48" s="1"/>
      <c r="K48" s="1"/>
      <c r="L48" s="1"/>
    </row>
    <row r="49" spans="1:17" x14ac:dyDescent="0.25">
      <c r="B49" t="s">
        <v>6</v>
      </c>
      <c r="C49" s="1" t="s">
        <v>9</v>
      </c>
      <c r="D49" s="1"/>
      <c r="E49" s="1"/>
      <c r="F49" s="1"/>
      <c r="G49" s="1"/>
      <c r="H49" s="1"/>
      <c r="I49" s="1"/>
      <c r="J49" s="1"/>
      <c r="K49" s="1"/>
      <c r="L49" s="1"/>
    </row>
    <row r="50" spans="1:17" x14ac:dyDescent="0.25">
      <c r="D50" s="1"/>
      <c r="E50" s="1"/>
      <c r="F50" s="1"/>
      <c r="G50" s="1"/>
      <c r="H50" s="1"/>
      <c r="I50" s="1"/>
      <c r="J50" s="1"/>
      <c r="K50" s="1"/>
      <c r="L50" s="1"/>
    </row>
    <row r="51" spans="1:17" x14ac:dyDescent="0.25">
      <c r="B51" t="s">
        <v>1</v>
      </c>
      <c r="C51" s="1" t="s">
        <v>11</v>
      </c>
      <c r="D51" s="1" t="s">
        <v>11</v>
      </c>
      <c r="E51" s="1" t="s">
        <v>11</v>
      </c>
      <c r="F51" s="1" t="s">
        <v>11</v>
      </c>
      <c r="G51" s="1"/>
      <c r="H51" s="1"/>
      <c r="I51" s="1"/>
      <c r="J51" s="1"/>
      <c r="K51" s="1"/>
      <c r="L51" s="1"/>
    </row>
    <row r="52" spans="1:17" x14ac:dyDescent="0.25">
      <c r="B52" t="s">
        <v>2</v>
      </c>
      <c r="C52" s="1">
        <v>54</v>
      </c>
      <c r="D52" s="1">
        <v>54</v>
      </c>
      <c r="E52" s="1">
        <v>54</v>
      </c>
      <c r="F52" s="1">
        <v>54</v>
      </c>
      <c r="G52" s="1"/>
      <c r="H52" s="1"/>
      <c r="I52" s="1"/>
      <c r="J52" s="1"/>
      <c r="K52" s="1"/>
      <c r="L52" s="1"/>
    </row>
    <row r="53" spans="1:17" x14ac:dyDescent="0.25">
      <c r="B53" t="s">
        <v>3</v>
      </c>
      <c r="C53" s="1">
        <v>0</v>
      </c>
      <c r="D53" s="2">
        <v>80</v>
      </c>
      <c r="E53" s="1">
        <v>80</v>
      </c>
      <c r="F53" s="2">
        <v>0</v>
      </c>
      <c r="G53" s="1"/>
      <c r="H53" s="1"/>
      <c r="I53" s="1"/>
      <c r="J53" s="1"/>
      <c r="K53" s="1"/>
      <c r="L53" s="1"/>
    </row>
    <row r="54" spans="1:17" x14ac:dyDescent="0.25">
      <c r="B54" t="s">
        <v>4</v>
      </c>
      <c r="C54" s="1" t="s">
        <v>12</v>
      </c>
      <c r="D54" s="1" t="s">
        <v>12</v>
      </c>
      <c r="E54" s="1" t="s">
        <v>12</v>
      </c>
      <c r="F54" s="1" t="s">
        <v>12</v>
      </c>
      <c r="G54" s="1"/>
      <c r="H54" s="1"/>
      <c r="I54" s="1"/>
      <c r="J54" s="1"/>
      <c r="K54" s="1"/>
      <c r="L54" s="1"/>
    </row>
    <row r="55" spans="1:17" x14ac:dyDescent="0.25">
      <c r="B55" t="s">
        <v>5</v>
      </c>
      <c r="C55" s="1" t="s">
        <v>13</v>
      </c>
      <c r="D55" s="2" t="s">
        <v>27</v>
      </c>
      <c r="E55" s="1" t="s">
        <v>27</v>
      </c>
      <c r="F55" s="2" t="s">
        <v>13</v>
      </c>
      <c r="G55" s="1"/>
      <c r="H55" s="1"/>
      <c r="I55" s="1"/>
      <c r="J55" s="1"/>
      <c r="K55" s="1"/>
      <c r="L55" s="1"/>
    </row>
    <row r="56" spans="1:17" x14ac:dyDescent="0.25">
      <c r="B56" t="s">
        <v>6</v>
      </c>
      <c r="C56" s="1">
        <v>31</v>
      </c>
      <c r="D56" s="2">
        <v>10</v>
      </c>
      <c r="E56" s="1">
        <v>10</v>
      </c>
      <c r="F56" s="2">
        <v>31</v>
      </c>
      <c r="G56" s="1"/>
      <c r="H56" s="1"/>
      <c r="I56" s="1"/>
      <c r="J56" s="1"/>
      <c r="K56" s="1"/>
      <c r="L56" s="1"/>
    </row>
    <row r="57" spans="1:17" x14ac:dyDescent="0.25">
      <c r="B57" t="s">
        <v>7</v>
      </c>
      <c r="C57" s="1">
        <v>39</v>
      </c>
      <c r="D57" s="1" t="s">
        <v>28</v>
      </c>
      <c r="E57" s="1" t="s">
        <v>28</v>
      </c>
      <c r="F57" s="1">
        <v>39</v>
      </c>
      <c r="G57" s="1"/>
      <c r="H57" s="1"/>
      <c r="I57" s="1"/>
      <c r="J57" s="1"/>
      <c r="K57" s="1"/>
      <c r="L57" s="1"/>
    </row>
    <row r="60" spans="1:17" x14ac:dyDescent="0.25">
      <c r="A60" t="s">
        <v>24</v>
      </c>
    </row>
    <row r="61" spans="1:17" x14ac:dyDescent="0.25">
      <c r="B61" t="s">
        <v>32</v>
      </c>
      <c r="C61" s="3">
        <v>0</v>
      </c>
      <c r="D61" s="3">
        <v>1</v>
      </c>
      <c r="E61" s="3">
        <v>2</v>
      </c>
      <c r="F61" s="3">
        <v>3</v>
      </c>
      <c r="G61" s="3">
        <v>4</v>
      </c>
      <c r="H61" s="3">
        <v>5</v>
      </c>
      <c r="I61" s="3">
        <v>6</v>
      </c>
      <c r="J61" s="3">
        <v>7</v>
      </c>
      <c r="K61" s="3">
        <v>8</v>
      </c>
      <c r="L61" s="3">
        <v>9</v>
      </c>
      <c r="M61" s="3" t="s">
        <v>33</v>
      </c>
      <c r="N61" s="3" t="s">
        <v>34</v>
      </c>
      <c r="O61" s="3" t="s">
        <v>35</v>
      </c>
      <c r="P61" s="3" t="s">
        <v>36</v>
      </c>
      <c r="Q61" s="3" t="s">
        <v>15</v>
      </c>
    </row>
    <row r="62" spans="1:17" x14ac:dyDescent="0.25">
      <c r="B62" t="s">
        <v>1</v>
      </c>
      <c r="C62" s="1" t="s">
        <v>8</v>
      </c>
      <c r="D62" s="1" t="s">
        <v>8</v>
      </c>
      <c r="E62" s="1" t="s">
        <v>8</v>
      </c>
      <c r="F62" s="1" t="s">
        <v>8</v>
      </c>
      <c r="G62" s="1" t="s">
        <v>8</v>
      </c>
      <c r="H62" s="1" t="s">
        <v>8</v>
      </c>
      <c r="I62" s="1" t="s">
        <v>8</v>
      </c>
      <c r="J62" s="1" t="s">
        <v>8</v>
      </c>
      <c r="K62" s="1" t="s">
        <v>8</v>
      </c>
      <c r="L62" s="1" t="s">
        <v>8</v>
      </c>
      <c r="M62" s="1" t="s">
        <v>8</v>
      </c>
      <c r="N62" s="1" t="s">
        <v>8</v>
      </c>
      <c r="O62" s="1" t="s">
        <v>8</v>
      </c>
      <c r="P62" s="1" t="s">
        <v>8</v>
      </c>
      <c r="Q62" s="1" t="s">
        <v>8</v>
      </c>
    </row>
    <row r="63" spans="1:17" x14ac:dyDescent="0.25">
      <c r="B63" t="s">
        <v>2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</row>
    <row r="64" spans="1:17" x14ac:dyDescent="0.25">
      <c r="B64" t="s">
        <v>3</v>
      </c>
      <c r="C64" s="1">
        <v>0</v>
      </c>
      <c r="D64" s="2">
        <v>4</v>
      </c>
      <c r="E64" s="2">
        <v>2</v>
      </c>
      <c r="F64" s="2">
        <v>3</v>
      </c>
      <c r="G64" s="2">
        <v>4</v>
      </c>
      <c r="H64" s="2">
        <v>5</v>
      </c>
      <c r="I64" s="2">
        <v>6</v>
      </c>
      <c r="J64" s="2">
        <v>7</v>
      </c>
      <c r="K64" s="2">
        <v>8</v>
      </c>
      <c r="L64" s="2">
        <v>9</v>
      </c>
      <c r="M64" s="2" t="s">
        <v>33</v>
      </c>
      <c r="N64" s="2" t="s">
        <v>34</v>
      </c>
      <c r="O64" s="2" t="s">
        <v>35</v>
      </c>
      <c r="P64" s="2" t="s">
        <v>36</v>
      </c>
      <c r="Q64" s="2" t="s">
        <v>15</v>
      </c>
    </row>
    <row r="65" spans="1:17" x14ac:dyDescent="0.25">
      <c r="B65" t="s">
        <v>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5">
      <c r="B66" t="s">
        <v>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5">
      <c r="B67" t="s">
        <v>6</v>
      </c>
      <c r="C67" s="1" t="s">
        <v>9</v>
      </c>
      <c r="D67" s="1" t="s">
        <v>37</v>
      </c>
      <c r="E67" s="1" t="s">
        <v>38</v>
      </c>
      <c r="F67" s="1" t="s">
        <v>17</v>
      </c>
      <c r="G67" s="1" t="s">
        <v>39</v>
      </c>
      <c r="H67" s="1" t="s">
        <v>40</v>
      </c>
      <c r="I67" s="1" t="s">
        <v>41</v>
      </c>
      <c r="J67" s="1" t="s">
        <v>42</v>
      </c>
      <c r="K67" s="1" t="s">
        <v>43</v>
      </c>
      <c r="L67" s="1" t="s">
        <v>44</v>
      </c>
      <c r="M67" s="1" t="s">
        <v>45</v>
      </c>
      <c r="N67" s="1" t="s">
        <v>46</v>
      </c>
      <c r="O67" s="1" t="s">
        <v>48</v>
      </c>
      <c r="P67" s="1" t="s">
        <v>49</v>
      </c>
      <c r="Q67" s="1" t="s">
        <v>16</v>
      </c>
    </row>
    <row r="68" spans="1:17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B69" t="s">
        <v>1</v>
      </c>
      <c r="C69" s="1" t="s">
        <v>11</v>
      </c>
      <c r="D69" s="1"/>
      <c r="E69" s="1"/>
      <c r="F69" s="1"/>
      <c r="G69" s="1"/>
      <c r="H69" s="1" t="s">
        <v>11</v>
      </c>
      <c r="I69" s="1"/>
      <c r="J69" s="1"/>
      <c r="K69" s="1"/>
      <c r="L69" s="1"/>
      <c r="M69" s="1"/>
      <c r="N69" s="1" t="s">
        <v>11</v>
      </c>
      <c r="O69" s="1"/>
      <c r="P69" s="1"/>
      <c r="Q69" s="1"/>
    </row>
    <row r="70" spans="1:17" x14ac:dyDescent="0.25">
      <c r="B70" t="s">
        <v>2</v>
      </c>
      <c r="C70" s="1">
        <v>54</v>
      </c>
      <c r="D70" s="1"/>
      <c r="E70" s="1"/>
      <c r="F70" s="1"/>
      <c r="G70" s="1"/>
      <c r="H70" s="1">
        <v>54</v>
      </c>
      <c r="I70" s="1"/>
      <c r="J70" s="1"/>
      <c r="K70" s="1"/>
      <c r="L70" s="1"/>
      <c r="M70" s="1"/>
      <c r="N70" s="1">
        <v>54</v>
      </c>
      <c r="O70" s="1"/>
      <c r="P70" s="1"/>
      <c r="Q70" s="1"/>
    </row>
    <row r="71" spans="1:17" x14ac:dyDescent="0.25">
      <c r="B71" t="s">
        <v>3</v>
      </c>
      <c r="C71" s="1">
        <v>0</v>
      </c>
      <c r="D71" s="1"/>
      <c r="E71" s="1"/>
      <c r="F71" s="1"/>
      <c r="G71" s="1"/>
      <c r="H71" s="1">
        <v>0</v>
      </c>
      <c r="I71" s="1"/>
      <c r="J71" s="1"/>
      <c r="K71" s="1"/>
      <c r="L71" s="1"/>
      <c r="M71" s="1"/>
      <c r="N71" s="1">
        <v>0</v>
      </c>
      <c r="O71" s="1"/>
      <c r="P71" s="1"/>
      <c r="Q71" s="1"/>
    </row>
    <row r="72" spans="1:17" x14ac:dyDescent="0.25">
      <c r="B72" t="s">
        <v>4</v>
      </c>
      <c r="C72" s="1" t="s">
        <v>12</v>
      </c>
      <c r="D72" s="1"/>
      <c r="E72" s="1"/>
      <c r="F72" s="1"/>
      <c r="G72" s="1"/>
      <c r="H72" s="1" t="s">
        <v>12</v>
      </c>
      <c r="I72" s="1"/>
      <c r="J72" s="1"/>
      <c r="K72" s="1"/>
      <c r="L72" s="1"/>
      <c r="M72" s="1"/>
      <c r="N72" s="1" t="s">
        <v>12</v>
      </c>
      <c r="O72" s="1"/>
      <c r="P72" s="1"/>
      <c r="Q72" s="1"/>
    </row>
    <row r="73" spans="1:17" x14ac:dyDescent="0.25">
      <c r="B73" t="s">
        <v>5</v>
      </c>
      <c r="C73" s="1" t="s">
        <v>13</v>
      </c>
      <c r="D73" s="1"/>
      <c r="E73" s="1"/>
      <c r="F73" s="1"/>
      <c r="G73" s="1"/>
      <c r="H73" s="1" t="s">
        <v>13</v>
      </c>
      <c r="I73" s="1"/>
      <c r="J73" s="1"/>
      <c r="K73" s="1"/>
      <c r="L73" s="1"/>
      <c r="M73" s="1"/>
      <c r="N73" s="1" t="s">
        <v>13</v>
      </c>
      <c r="O73" s="1"/>
      <c r="P73" s="1"/>
      <c r="Q73" s="1"/>
    </row>
    <row r="74" spans="1:17" x14ac:dyDescent="0.25">
      <c r="B74" t="s">
        <v>6</v>
      </c>
      <c r="C74" s="1">
        <v>31</v>
      </c>
      <c r="D74" s="1"/>
      <c r="E74" s="1"/>
      <c r="F74" s="1"/>
      <c r="G74" s="1">
        <v>51</v>
      </c>
      <c r="H74" s="2">
        <v>51</v>
      </c>
      <c r="I74" s="1"/>
      <c r="J74" s="1">
        <v>71</v>
      </c>
      <c r="K74" s="1"/>
      <c r="L74" s="1"/>
      <c r="M74" s="1">
        <v>71</v>
      </c>
      <c r="N74" s="2">
        <v>91</v>
      </c>
      <c r="O74" s="1"/>
      <c r="P74" s="1"/>
      <c r="Q74" s="1" t="s">
        <v>17</v>
      </c>
    </row>
    <row r="75" spans="1:17" x14ac:dyDescent="0.25">
      <c r="B75" t="s">
        <v>7</v>
      </c>
      <c r="C75" s="1">
        <v>39</v>
      </c>
      <c r="D75" s="1"/>
      <c r="E75" s="1"/>
      <c r="F75" s="1"/>
      <c r="G75" s="1"/>
      <c r="H75" s="1">
        <v>19</v>
      </c>
      <c r="I75" s="1"/>
      <c r="J75" s="1"/>
      <c r="K75" s="1"/>
      <c r="L75" s="1"/>
      <c r="M75" s="1"/>
      <c r="N75" s="1" t="s">
        <v>47</v>
      </c>
      <c r="O75" s="1"/>
      <c r="P75" s="1"/>
      <c r="Q75" s="1"/>
    </row>
    <row r="78" spans="1:17" x14ac:dyDescent="0.25">
      <c r="A78" t="s">
        <v>55</v>
      </c>
    </row>
    <row r="79" spans="1:17" x14ac:dyDescent="0.25">
      <c r="B79" t="s">
        <v>1</v>
      </c>
      <c r="C79" s="1" t="s">
        <v>56</v>
      </c>
    </row>
    <row r="80" spans="1:17" ht="30" x14ac:dyDescent="0.25">
      <c r="B80" t="s">
        <v>2</v>
      </c>
      <c r="C80" s="3" t="s">
        <v>50</v>
      </c>
      <c r="D80" s="4" t="s">
        <v>51</v>
      </c>
      <c r="E80" s="4" t="s">
        <v>53</v>
      </c>
      <c r="F80" s="4" t="s">
        <v>54</v>
      </c>
    </row>
    <row r="81" spans="2:6" x14ac:dyDescent="0.25">
      <c r="C81" s="1">
        <v>1</v>
      </c>
      <c r="D81" s="1">
        <v>21</v>
      </c>
      <c r="E81" s="1" t="s">
        <v>52</v>
      </c>
      <c r="F81" s="1">
        <v>41</v>
      </c>
    </row>
    <row r="82" spans="2:6" x14ac:dyDescent="0.25">
      <c r="B82" t="s">
        <v>3</v>
      </c>
      <c r="C82" s="1" t="s">
        <v>57</v>
      </c>
    </row>
    <row r="83" spans="2:6" x14ac:dyDescent="0.25">
      <c r="C83" s="1">
        <v>0</v>
      </c>
      <c r="D83" t="s">
        <v>15</v>
      </c>
    </row>
    <row r="84" spans="2:6" x14ac:dyDescent="0.25">
      <c r="B84" t="s">
        <v>4</v>
      </c>
      <c r="C84" s="1" t="s">
        <v>58</v>
      </c>
      <c r="D84" t="s">
        <v>59</v>
      </c>
    </row>
    <row r="85" spans="2:6" x14ac:dyDescent="0.25">
      <c r="C85" s="1" t="s">
        <v>60</v>
      </c>
    </row>
    <row r="86" spans="2:6" x14ac:dyDescent="0.25">
      <c r="C86" s="1" t="s">
        <v>62</v>
      </c>
    </row>
    <row r="87" spans="2:6" x14ac:dyDescent="0.25">
      <c r="B87" t="s">
        <v>5</v>
      </c>
      <c r="C87" s="1" t="s">
        <v>61</v>
      </c>
      <c r="D87" t="s">
        <v>63</v>
      </c>
    </row>
    <row r="88" spans="2:6" x14ac:dyDescent="0.25">
      <c r="C88" s="1" t="s">
        <v>60</v>
      </c>
    </row>
    <row r="89" spans="2:6" x14ac:dyDescent="0.25">
      <c r="C89" s="1" t="s">
        <v>62</v>
      </c>
    </row>
    <row r="91" spans="2:6" x14ac:dyDescent="0.25">
      <c r="B91" t="s">
        <v>6</v>
      </c>
      <c r="C91" s="1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Crosby</dc:creator>
  <cp:lastModifiedBy>Brent</cp:lastModifiedBy>
  <dcterms:created xsi:type="dcterms:W3CDTF">2025-08-08T03:41:28Z</dcterms:created>
  <dcterms:modified xsi:type="dcterms:W3CDTF">2025-08-09T20:11:51Z</dcterms:modified>
</cp:coreProperties>
</file>